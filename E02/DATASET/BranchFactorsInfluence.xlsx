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<sst xmlns="http://schemas.openxmlformats.org/spreadsheetml/2006/main" count="24" uniqueCount="22">
  <si>
    <t xml:space="preserve">Fatores</t>
  </si>
  <si>
    <t xml:space="preserve">Variáveis de Resposta</t>
  </si>
  <si>
    <t xml:space="preserve">A (Memória)</t>
  </si>
  <si>
    <t xml:space="preserve">B(Técnica)</t>
  </si>
  <si>
    <t xml:space="preserve">Y</t>
  </si>
  <si>
    <t xml:space="preserve">-1(E)</t>
  </si>
  <si>
    <t xml:space="preserve">-1(N)</t>
  </si>
  <si>
    <t xml:space="preserve">1(D)</t>
  </si>
  <si>
    <t xml:space="preserve">-1 (N)</t>
  </si>
  <si>
    <t xml:space="preserve">1(U)</t>
  </si>
  <si>
    <t xml:space="preserve">1 (U)</t>
  </si>
  <si>
    <t xml:space="preserve">q0</t>
  </si>
  <si>
    <t xml:space="preserve">qA</t>
  </si>
  <si>
    <t xml:space="preserve">qB</t>
  </si>
  <si>
    <t xml:space="preserve">qAB</t>
  </si>
  <si>
    <t xml:space="preserve">SST</t>
  </si>
  <si>
    <t xml:space="preserve">SSA</t>
  </si>
  <si>
    <t xml:space="preserve">SSB</t>
  </si>
  <si>
    <t xml:space="preserve">SSAB</t>
  </si>
  <si>
    <t xml:space="preserve">A</t>
  </si>
  <si>
    <t xml:space="preserve">B</t>
  </si>
  <si>
    <t xml:space="preserve">AB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</si>
</sst>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0"/>
      <charset val="1"/>
    </font>
    <font>
      <sz val="24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ck"/>
      <right style="medium"/>
      <top style="thick"/>
      <bottom style="medium"/>
      <diagonal/>
    </border>
    <border diagonalUp="false" diagonalDown="false">
      <left style="medium"/>
      <right style="thick"/>
      <top style="thick"/>
      <bottom style="medium"/>
      <diagonal/>
    </border>
    <border diagonalUp="false" diagonalDown="false">
      <left style="thick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ck"/>
      <right style="medium"/>
      <top style="medium"/>
      <bottom style="thick"/>
      <diagonal/>
    </border>
    <border diagonalUp="false" diagonalDown="false">
      <left style="medium"/>
      <right style="medium"/>
      <top style="medium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0" width="33.43"/>
    <col collapsed="false" customWidth="true" hidden="false" outlineLevel="0" max="3" min="3" style="0" width="49.51"/>
    <col collapsed="false" customWidth="true" hidden="false" outlineLevel="0" max="16384" min="16383" style="0" width="10.16"/>
  </cols>
  <sheetData>
    <row r="1" customFormat="false" ht="63" hidden="false" customHeight="true" outlineLevel="0" collapsed="false">
      <c r="A1" s="1" t="s">
        <v>0</v>
      </c>
      <c r="B1" s="1"/>
      <c r="C1" s="2" t="s">
        <v>1</v>
      </c>
    </row>
    <row r="2" customFormat="false" ht="33.55" hidden="false" customHeight="false" outlineLevel="0" collapsed="false">
      <c r="A2" s="3" t="s">
        <v>2</v>
      </c>
      <c r="B2" s="4" t="s">
        <v>3</v>
      </c>
      <c r="C2" s="4" t="s">
        <v>4</v>
      </c>
    </row>
    <row r="3" customFormat="false" ht="33.55" hidden="false" customHeight="false" outlineLevel="0" collapsed="false">
      <c r="A3" s="5" t="s">
        <v>5</v>
      </c>
      <c r="B3" s="6" t="s">
        <v>6</v>
      </c>
      <c r="C3" s="6" t="n">
        <v>0.714</v>
      </c>
    </row>
    <row r="4" customFormat="false" ht="33.55" hidden="false" customHeight="false" outlineLevel="0" collapsed="false">
      <c r="A4" s="5" t="s">
        <v>7</v>
      </c>
      <c r="B4" s="6" t="s">
        <v>8</v>
      </c>
      <c r="C4" s="6" t="n">
        <v>0.767</v>
      </c>
    </row>
    <row r="5" customFormat="false" ht="33.55" hidden="false" customHeight="false" outlineLevel="0" collapsed="false">
      <c r="A5" s="5" t="s">
        <v>5</v>
      </c>
      <c r="B5" s="6" t="s">
        <v>9</v>
      </c>
      <c r="C5" s="6" t="n">
        <v>0.452</v>
      </c>
    </row>
    <row r="6" customFormat="false" ht="33.55" hidden="false" customHeight="false" outlineLevel="0" collapsed="false">
      <c r="A6" s="7" t="s">
        <v>7</v>
      </c>
      <c r="B6" s="8" t="s">
        <v>10</v>
      </c>
      <c r="C6" s="8" t="n">
        <v>0.692</v>
      </c>
    </row>
    <row r="10" customFormat="false" ht="15" hidden="false" customHeight="false" outlineLevel="0" collapsed="false">
      <c r="B10" s="0" t="s">
        <v>11</v>
      </c>
      <c r="C10" s="9" t="n">
        <f aca="false">(C3+C4+C5+C6)/4</f>
        <v>0.65625</v>
      </c>
    </row>
    <row r="11" customFormat="false" ht="15" hidden="false" customHeight="false" outlineLevel="0" collapsed="false">
      <c r="B11" s="0" t="s">
        <v>12</v>
      </c>
      <c r="C11" s="9" t="n">
        <f aca="false">(-C3+C4-C5+C6)/4</f>
        <v>0.07325</v>
      </c>
    </row>
    <row r="12" customFormat="false" ht="15" hidden="false" customHeight="false" outlineLevel="0" collapsed="false">
      <c r="B12" s="0" t="s">
        <v>13</v>
      </c>
      <c r="C12" s="9" t="n">
        <f aca="false">(-C3-C4+C5+C6)/4</f>
        <v>-0.08425</v>
      </c>
    </row>
    <row r="13" customFormat="false" ht="15" hidden="false" customHeight="false" outlineLevel="0" collapsed="false">
      <c r="B13" s="0" t="s">
        <v>14</v>
      </c>
      <c r="C13" s="9" t="n">
        <f aca="false">(C3-C4-C5+C6)/4</f>
        <v>0.04675</v>
      </c>
    </row>
    <row r="15" customFormat="false" ht="15" hidden="false" customHeight="false" outlineLevel="0" collapsed="false">
      <c r="B15" s="0" t="s">
        <v>15</v>
      </c>
      <c r="C15" s="10" t="n">
        <f aca="false">C16+C17+C18</f>
        <v>0.05859675</v>
      </c>
    </row>
    <row r="16" customFormat="false" ht="15" hidden="false" customHeight="false" outlineLevel="0" collapsed="false">
      <c r="B16" s="0" t="s">
        <v>16</v>
      </c>
      <c r="C16" s="10" t="n">
        <f aca="false">4*C11*C11</f>
        <v>0.02146225</v>
      </c>
    </row>
    <row r="17" customFormat="false" ht="15" hidden="false" customHeight="false" outlineLevel="0" collapsed="false">
      <c r="B17" s="0" t="s">
        <v>17</v>
      </c>
      <c r="C17" s="10" t="n">
        <f aca="false">4*C12*C12</f>
        <v>0.02839225</v>
      </c>
    </row>
    <row r="18" customFormat="false" ht="15" hidden="false" customHeight="false" outlineLevel="0" collapsed="false">
      <c r="B18" s="0" t="s">
        <v>18</v>
      </c>
      <c r="C18" s="10" t="n">
        <f aca="false">4*C13*C13</f>
        <v>0.00874224999999998</v>
      </c>
    </row>
    <row r="20" customFormat="false" ht="15" hidden="false" customHeight="false" outlineLevel="0" collapsed="false">
      <c r="B20" s="0" t="s">
        <v>19</v>
      </c>
      <c r="C20" s="10" t="n">
        <f aca="false">C16/C15</f>
        <v>0.366270313626609</v>
      </c>
    </row>
    <row r="21" customFormat="false" ht="15" hidden="false" customHeight="false" outlineLevel="0" collapsed="false">
      <c r="B21" s="0" t="s">
        <v>20</v>
      </c>
      <c r="C21" s="10" t="n">
        <f aca="false">C17/C15</f>
        <v>0.484536258410236</v>
      </c>
    </row>
    <row r="22" customFormat="false" ht="15" hidden="false" customHeight="false" outlineLevel="0" collapsed="false">
      <c r="B22" s="0" t="s">
        <v>21</v>
      </c>
      <c r="C22" s="10" t="n">
        <f aca="false">C18/C15</f>
        <v>0.149193427963155</v>
      </c>
    </row>
  </sheetData>
  <mergeCells count="1">
    <mergeCell ref="A1:B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2017-08-29T18:53:00Z</dcterms:created>
  <dc:creator>Sarita Bruschi</dc:creator>
  <dc:description/>
  <dc:language>en-US</dc:language>
  <cp:lastModifiedBy/>
  <dcterms:modified xsi:type="dcterms:W3CDTF">2025-09-21T19:08:36Z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